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Hours Log" sheetId="2" state="visible" r:id="rId4"/>
    <sheet name="Cap Table" sheetId="3" state="visible" r:id="rId5"/>
    <sheet name="Post-Seed Dilu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<sst xmlns="http://schemas.openxmlformats.org/spreadsheetml/2006/main" count="100" uniqueCount="81">
  <si>
    <t xml:space="preserve">CENCORI — CAP TABLE</t>
  </si>
  <si>
    <t xml:space="preserve">Delaware C-Corp · Stripe Atlas · Definitive Founder Equity</t>
  </si>
  <si>
    <t xml:space="preserve">COMPANY DETAILS</t>
  </si>
  <si>
    <t xml:space="preserve">Incorporation</t>
  </si>
  <si>
    <t xml:space="preserve">Delaware C-Corp (Stripe Atlas)</t>
  </si>
  <si>
    <t xml:space="preserve">Authorized Shares</t>
  </si>
  <si>
    <t xml:space="preserve">Pre-Seed Valuation</t>
  </si>
  <si>
    <t xml:space="preserve">Seed Valuation (Pre-Money)</t>
  </si>
  <si>
    <t xml:space="preserve">Seed Raise Amount</t>
  </si>
  <si>
    <t xml:space="preserve">Post-Money Valuation (Seed)</t>
  </si>
  <si>
    <t xml:space="preserve">SHARE PRICING</t>
  </si>
  <si>
    <t xml:space="preserve">Price/Share (Pre-Seed)</t>
  </si>
  <si>
    <t xml:space="preserve">Price/Share (Seed)</t>
  </si>
  <si>
    <t xml:space="preserve">Step-Up Multiple</t>
  </si>
  <si>
    <t xml:space="preserve">HOURLY RATES (for sweat equity reference)</t>
  </si>
  <si>
    <t xml:space="preserve">Founder Rate</t>
  </si>
  <si>
    <t xml:space="preserve">Contributor Rate</t>
  </si>
  <si>
    <t xml:space="preserve">SWEAT EQUITY — HOURS LOG</t>
  </si>
  <si>
    <t xml:space="preserve">Reference only — equity allocation was decided by founders, not strictly derived from hours.</t>
  </si>
  <si>
    <t xml:space="preserve">Name</t>
  </si>
  <si>
    <t xml:space="preserve">Role</t>
  </si>
  <si>
    <t xml:space="preserve">Rate Tier</t>
  </si>
  <si>
    <t xml:space="preserve">Start Date</t>
  </si>
  <si>
    <t xml:space="preserve">Days Active</t>
  </si>
  <si>
    <t xml:space="preserve">Avg Hrs/Day</t>
  </si>
  <si>
    <t xml:space="preserve">Total Hours</t>
  </si>
  <si>
    <t xml:space="preserve">Cash Equivalent</t>
  </si>
  <si>
    <t xml:space="preserve">Bola Roy Banjo</t>
  </si>
  <si>
    <t xml:space="preserve">CEO &amp; Co-Founder</t>
  </si>
  <si>
    <t xml:space="preserve">Founder</t>
  </si>
  <si>
    <t xml:space="preserve">Nov 1, 2025</t>
  </si>
  <si>
    <t xml:space="preserve">Oreofe Daniel</t>
  </si>
  <si>
    <t xml:space="preserve">COO &amp; Co-Founder</t>
  </si>
  <si>
    <t xml:space="preserve">Dec 15, 2025</t>
  </si>
  <si>
    <t xml:space="preserve">Ladipo Samuel</t>
  </si>
  <si>
    <t xml:space="preserve">CTO &amp; Co-Founder</t>
  </si>
  <si>
    <t xml:space="preserve">Various</t>
  </si>
  <si>
    <t xml:space="preserve">Rosemary</t>
  </si>
  <si>
    <t xml:space="preserve">Frontend Developer</t>
  </si>
  <si>
    <t xml:space="preserve">Contributor</t>
  </si>
  <si>
    <t xml:space="preserve">TOTAL</t>
  </si>
  <si>
    <t xml:space="preserve">CENCORI — DEFINITIVE CAP TABLE (PRE-SEED)</t>
  </si>
  <si>
    <t xml:space="preserve">Founder-agreed equity split · 10,000,000 authorized shares · $0.30/share pre-seed</t>
  </si>
  <si>
    <t xml:space="preserve">Shareholder</t>
  </si>
  <si>
    <t xml:space="preserve">Ownership %</t>
  </si>
  <si>
    <t xml:space="preserve">Shares</t>
  </si>
  <si>
    <t xml:space="preserve">Value (Pre-Seed)</t>
  </si>
  <si>
    <t xml:space="preserve">Value (at Seed $18M)</t>
  </si>
  <si>
    <t xml:space="preserve">Notes</t>
  </si>
  <si>
    <t xml:space="preserve">CEO &amp; Co-Founder · Full-time since Nov 2025 · Vision + IP holder</t>
  </si>
  <si>
    <t xml:space="preserve">COO &amp; Co-Founder · Consistent contribution alongside day job</t>
  </si>
  <si>
    <t xml:space="preserve">CTO &amp; Co-Founder · Technical leadership role</t>
  </si>
  <si>
    <t xml:space="preserve">Frontend Developer · 1 month part-time contribution</t>
  </si>
  <si>
    <t xml:space="preserve">Mary Ima Owen</t>
  </si>
  <si>
    <t xml:space="preserve">Chief of Staff &amp; Head of Capital · Not yet allocated</t>
  </si>
  <si>
    <t xml:space="preserve">ESOP (Reserved)</t>
  </si>
  <si>
    <t xml:space="preserve">Employee option pool · To be set before seed round</t>
  </si>
  <si>
    <t xml:space="preserve">Unallocated</t>
  </si>
  <si>
    <t xml:space="preserve">Buffer for Mary, ESOP, advisors</t>
  </si>
  <si>
    <t xml:space="preserve">KEY DECISIONS PENDING</t>
  </si>
  <si>
    <t xml:space="preserve">  1. Mary Ima Owen's equity allocation — to be decided based on scope of Chief of Staff &amp; Head of Capital role</t>
  </si>
  <si>
    <t xml:space="preserve">  2. ESOP pool size — standard is 10-15% pre-seed, but can be set closer to seed round</t>
  </si>
  <si>
    <t xml:space="preserve">  3. Vesting schedules — recommended 4-year vest with 1-year cliff for all co-founders except CEO</t>
  </si>
  <si>
    <t xml:space="preserve">  4. The 18% currently unallocated can be distributed across Mary, ESOP, and future advisors</t>
  </si>
  <si>
    <t xml:space="preserve">POST-SEED DILUTION MODEL</t>
  </si>
  <si>
    <t xml:space="preserve">Raising $3M at $18M pre-money = $21M post-money · Investors get 14.3%</t>
  </si>
  <si>
    <t xml:space="preserve">SEED ROUND MECHANICS</t>
  </si>
  <si>
    <t xml:space="preserve">Investor Ownership</t>
  </si>
  <si>
    <t xml:space="preserve">Dilution Factor</t>
  </si>
  <si>
    <t xml:space="preserve">New Shares Issued to Investors</t>
  </si>
  <si>
    <t xml:space="preserve">Pre-Seed %</t>
  </si>
  <si>
    <t xml:space="preserve">Post-Seed %</t>
  </si>
  <si>
    <t xml:space="preserve">Post-Seed Shares</t>
  </si>
  <si>
    <t xml:space="preserve">Post-Seed Value ($21M)</t>
  </si>
  <si>
    <t xml:space="preserve">Seed Investors</t>
  </si>
  <si>
    <t xml:space="preserve">-</t>
  </si>
  <si>
    <t xml:space="preserve">FOUNDER EQUITY VALUE AT SEED</t>
  </si>
  <si>
    <t xml:space="preserve">Bola Roy Banjo (58% pre-seed)</t>
  </si>
  <si>
    <t xml:space="preserve">Post-dilution value:</t>
  </si>
  <si>
    <t xml:space="preserve">Oreofe Daniel (20% pre-seed)</t>
  </si>
  <si>
    <t xml:space="preserve">Ladipo Samuel (20% pre-seed)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</si>
</sst>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"/>
    <numFmt numFmtId="167" formatCode="\$#,##0.00"/>
    <numFmt numFmtId="168" formatCode="0.0\x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b val="true"/>
      <sz val="11"/>
      <color rgb="FF3B82F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F0FE"/>
        <bgColor rgb="FFE8F5E9"/>
      </patternFill>
    </fill>
    <fill>
      <patternFill patternType="solid">
        <fgColor rgb="FF1A1A2E"/>
        <bgColor rgb="FF333300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F99"/>
      </patternFill>
    </fill>
    <fill>
      <patternFill patternType="solid">
        <fgColor rgb="FFE8F5E9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5F5F5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5" t="s">
        <v>4</v>
      </c>
    </row>
    <row r="6" customFormat="false" ht="15" hidden="false" customHeight="false" outlineLevel="0" collapsed="false">
      <c r="A6" s="5" t="s">
        <v>5</v>
      </c>
      <c r="B6" s="6" t="n">
        <v>10000000</v>
      </c>
    </row>
    <row r="7" customFormat="false" ht="15" hidden="false" customHeight="false" outlineLevel="0" collapsed="false">
      <c r="A7" s="5" t="s">
        <v>6</v>
      </c>
      <c r="B7" s="7" t="n">
        <v>3000000</v>
      </c>
    </row>
    <row r="8" customFormat="false" ht="15" hidden="false" customHeight="false" outlineLevel="0" collapsed="false">
      <c r="A8" s="5" t="s">
        <v>7</v>
      </c>
      <c r="B8" s="7" t="n">
        <v>18000000</v>
      </c>
    </row>
    <row r="9" customFormat="false" ht="15" hidden="false" customHeight="false" outlineLevel="0" collapsed="false">
      <c r="A9" s="5" t="s">
        <v>8</v>
      </c>
      <c r="B9" s="7" t="n">
        <v>3000000</v>
      </c>
    </row>
    <row r="10" customFormat="false" ht="15" hidden="false" customHeight="false" outlineLevel="0" collapsed="false">
      <c r="A10" s="5" t="s">
        <v>9</v>
      </c>
      <c r="B10" s="8" t="n">
        <f aca="false">B8+B9</f>
        <v>21000000</v>
      </c>
    </row>
    <row r="12" customFormat="false" ht="15" hidden="false" customHeight="false" outlineLevel="0" collapsed="false">
      <c r="A12" s="3" t="s">
        <v>10</v>
      </c>
      <c r="B12" s="4"/>
    </row>
    <row r="13" customFormat="false" ht="15" hidden="false" customHeight="false" outlineLevel="0" collapsed="false">
      <c r="A13" s="5" t="s">
        <v>11</v>
      </c>
      <c r="B13" s="9" t="n">
        <f aca="false">B7/B6</f>
        <v>0.3</v>
      </c>
    </row>
    <row r="14" customFormat="false" ht="15" hidden="false" customHeight="false" outlineLevel="0" collapsed="false">
      <c r="A14" s="5" t="s">
        <v>12</v>
      </c>
      <c r="B14" s="9" t="n">
        <f aca="false">B8/B6</f>
        <v>1.8</v>
      </c>
    </row>
    <row r="15" customFormat="false" ht="15" hidden="false" customHeight="false" outlineLevel="0" collapsed="false">
      <c r="A15" s="5" t="s">
        <v>13</v>
      </c>
      <c r="B15" s="10" t="n">
        <f aca="false">B14/B13</f>
        <v>6</v>
      </c>
    </row>
    <row r="17" customFormat="false" ht="15" hidden="false" customHeight="false" outlineLevel="0" collapsed="false">
      <c r="A17" s="3" t="s">
        <v>14</v>
      </c>
      <c r="B17" s="4"/>
    </row>
    <row r="18" customFormat="false" ht="15" hidden="false" customHeight="false" outlineLevel="0" collapsed="false">
      <c r="A18" s="5" t="s">
        <v>15</v>
      </c>
      <c r="B18" s="7" t="n">
        <v>125</v>
      </c>
    </row>
    <row r="19" customFormat="false" ht="15" hidden="false" customHeight="false" outlineLevel="0" collapsed="false">
      <c r="A19" s="5" t="s">
        <v>16</v>
      </c>
      <c r="B19" s="7" t="n">
        <v>75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17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18</v>
      </c>
      <c r="B2" s="11"/>
      <c r="C2" s="11"/>
      <c r="D2" s="11"/>
      <c r="E2" s="11"/>
      <c r="F2" s="11"/>
      <c r="G2" s="11"/>
      <c r="H2" s="11"/>
    </row>
    <row r="4" customFormat="false" ht="15" hidden="false" customHeight="false" outlineLevel="0" collapsed="false">
      <c r="A4" s="12" t="s">
        <v>19</v>
      </c>
      <c r="B4" s="12" t="s">
        <v>20</v>
      </c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25</v>
      </c>
      <c r="H4" s="12" t="s">
        <v>26</v>
      </c>
    </row>
    <row r="5" customFormat="false" ht="15" hidden="false" customHeight="false" outlineLevel="0" collapsed="false">
      <c r="A5" s="13" t="s">
        <v>27</v>
      </c>
      <c r="B5" s="14" t="s">
        <v>28</v>
      </c>
      <c r="C5" s="15" t="s">
        <v>29</v>
      </c>
      <c r="D5" s="15" t="s">
        <v>30</v>
      </c>
      <c r="E5" s="16" t="n">
        <v>150</v>
      </c>
      <c r="F5" s="16" t="n">
        <v>15</v>
      </c>
      <c r="G5" s="17" t="n">
        <f aca="false">E5*F5</f>
        <v>2250</v>
      </c>
      <c r="H5" s="18" t="n">
        <f aca="false">G5*Assumptions!B18</f>
        <v>281250</v>
      </c>
    </row>
    <row r="6" customFormat="false" ht="15" hidden="false" customHeight="false" outlineLevel="0" collapsed="false">
      <c r="A6" s="19" t="s">
        <v>31</v>
      </c>
      <c r="B6" s="20" t="s">
        <v>32</v>
      </c>
      <c r="C6" s="21" t="s">
        <v>29</v>
      </c>
      <c r="D6" s="21" t="s">
        <v>33</v>
      </c>
      <c r="E6" s="22" t="n">
        <v>105</v>
      </c>
      <c r="F6" s="22" t="n">
        <v>3</v>
      </c>
      <c r="G6" s="23" t="n">
        <f aca="false">E6*F6</f>
        <v>315</v>
      </c>
      <c r="H6" s="24" t="n">
        <f aca="false">G6*Assumptions!B18</f>
        <v>39375</v>
      </c>
    </row>
    <row r="7" customFormat="false" ht="15" hidden="false" customHeight="false" outlineLevel="0" collapsed="false">
      <c r="A7" s="13" t="s">
        <v>34</v>
      </c>
      <c r="B7" s="14" t="s">
        <v>35</v>
      </c>
      <c r="C7" s="15" t="s">
        <v>29</v>
      </c>
      <c r="D7" s="15" t="s">
        <v>36</v>
      </c>
      <c r="E7" s="16" t="n">
        <v>14</v>
      </c>
      <c r="F7" s="16" t="n">
        <v>5.7</v>
      </c>
      <c r="G7" s="17" t="n">
        <f aca="false">E7*F7</f>
        <v>79.8</v>
      </c>
      <c r="H7" s="18" t="n">
        <f aca="false">G7*Assumptions!B18</f>
        <v>9975</v>
      </c>
    </row>
    <row r="8" customFormat="false" ht="15" hidden="false" customHeight="false" outlineLevel="0" collapsed="false">
      <c r="A8" s="19" t="s">
        <v>37</v>
      </c>
      <c r="B8" s="20" t="s">
        <v>38</v>
      </c>
      <c r="C8" s="21" t="s">
        <v>39</v>
      </c>
      <c r="D8" s="21" t="s">
        <v>36</v>
      </c>
      <c r="E8" s="22" t="n">
        <v>30</v>
      </c>
      <c r="F8" s="22" t="n">
        <v>3</v>
      </c>
      <c r="G8" s="23" t="n">
        <f aca="false">E8*F8</f>
        <v>90</v>
      </c>
      <c r="H8" s="24" t="n">
        <f aca="false">G8*Assumptions!B19</f>
        <v>6750</v>
      </c>
    </row>
    <row r="9" customFormat="false" ht="15" hidden="false" customHeight="false" outlineLevel="0" collapsed="false">
      <c r="A9" s="3" t="s">
        <v>40</v>
      </c>
      <c r="B9" s="4"/>
      <c r="C9" s="4"/>
      <c r="D9" s="4"/>
      <c r="E9" s="4"/>
      <c r="F9" s="4"/>
      <c r="G9" s="25" t="n">
        <f aca="false">SUM(G5:G8)</f>
        <v>2734.8</v>
      </c>
      <c r="H9" s="26" t="n">
        <f aca="false">SUM(H5:H8)</f>
        <v>337350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1" t="s">
        <v>42</v>
      </c>
      <c r="B2" s="11"/>
      <c r="C2" s="11"/>
      <c r="D2" s="11"/>
      <c r="E2" s="11"/>
      <c r="F2" s="11"/>
    </row>
    <row r="4" customFormat="false" ht="23.85" hidden="false" customHeight="false" outlineLevel="0" collapsed="false">
      <c r="A4" s="12" t="s">
        <v>43</v>
      </c>
      <c r="B4" s="12" t="s">
        <v>44</v>
      </c>
      <c r="C4" s="12" t="s">
        <v>45</v>
      </c>
      <c r="D4" s="12" t="s">
        <v>46</v>
      </c>
      <c r="E4" s="12" t="s">
        <v>47</v>
      </c>
      <c r="F4" s="12" t="s">
        <v>48</v>
      </c>
    </row>
    <row r="5" customFormat="false" ht="15" hidden="false" customHeight="false" outlineLevel="0" collapsed="false">
      <c r="A5" s="13" t="s">
        <v>27</v>
      </c>
      <c r="B5" s="27" t="n">
        <v>0.58</v>
      </c>
      <c r="C5" s="17" t="n">
        <f aca="false">B5*Assumptions!B6</f>
        <v>5800000</v>
      </c>
      <c r="D5" s="18" t="n">
        <f aca="false">B5*Assumptions!B7</f>
        <v>1740000</v>
      </c>
      <c r="E5" s="18" t="n">
        <f aca="false">B5*Assumptions!B8</f>
        <v>10440000</v>
      </c>
      <c r="F5" s="28" t="s">
        <v>49</v>
      </c>
    </row>
    <row r="6" customFormat="false" ht="15" hidden="false" customHeight="false" outlineLevel="0" collapsed="false">
      <c r="A6" s="19" t="s">
        <v>31</v>
      </c>
      <c r="B6" s="29" t="n">
        <v>0.2</v>
      </c>
      <c r="C6" s="23" t="n">
        <f aca="false">B6*Assumptions!B6</f>
        <v>2000000</v>
      </c>
      <c r="D6" s="24" t="n">
        <f aca="false">B6*Assumptions!B7</f>
        <v>600000</v>
      </c>
      <c r="E6" s="24" t="n">
        <f aca="false">B6*Assumptions!B8</f>
        <v>3600000</v>
      </c>
      <c r="F6" s="30" t="s">
        <v>50</v>
      </c>
    </row>
    <row r="7" customFormat="false" ht="15" hidden="false" customHeight="false" outlineLevel="0" collapsed="false">
      <c r="A7" s="13" t="s">
        <v>34</v>
      </c>
      <c r="B7" s="27" t="n">
        <v>0.2</v>
      </c>
      <c r="C7" s="17" t="n">
        <f aca="false">B7*Assumptions!B6</f>
        <v>2000000</v>
      </c>
      <c r="D7" s="18" t="n">
        <f aca="false">B7*Assumptions!B7</f>
        <v>600000</v>
      </c>
      <c r="E7" s="18" t="n">
        <f aca="false">B7*Assumptions!B8</f>
        <v>3600000</v>
      </c>
      <c r="F7" s="28" t="s">
        <v>51</v>
      </c>
    </row>
    <row r="8" customFormat="false" ht="15" hidden="false" customHeight="false" outlineLevel="0" collapsed="false">
      <c r="A8" s="19" t="s">
        <v>37</v>
      </c>
      <c r="B8" s="29" t="n">
        <v>0.02</v>
      </c>
      <c r="C8" s="23" t="n">
        <f aca="false">B8*Assumptions!B6</f>
        <v>200000</v>
      </c>
      <c r="D8" s="24" t="n">
        <f aca="false">B8*Assumptions!B7</f>
        <v>60000</v>
      </c>
      <c r="E8" s="24" t="n">
        <f aca="false">B8*Assumptions!B8</f>
        <v>360000</v>
      </c>
      <c r="F8" s="30" t="s">
        <v>52</v>
      </c>
    </row>
    <row r="9" customFormat="false" ht="15" hidden="false" customHeight="false" outlineLevel="0" collapsed="false">
      <c r="A9" s="13" t="s">
        <v>53</v>
      </c>
      <c r="B9" s="31" t="n">
        <v>0</v>
      </c>
      <c r="C9" s="17" t="n">
        <f aca="false">B9*Assumptions!B6</f>
        <v>0</v>
      </c>
      <c r="D9" s="18" t="n">
        <f aca="false">B9*Assumptions!B7</f>
        <v>0</v>
      </c>
      <c r="E9" s="18" t="n">
        <f aca="false">B9*Assumptions!B8</f>
        <v>0</v>
      </c>
      <c r="F9" s="28" t="s">
        <v>54</v>
      </c>
    </row>
    <row r="10" customFormat="false" ht="15" hidden="false" customHeight="false" outlineLevel="0" collapsed="false">
      <c r="A10" s="19" t="s">
        <v>55</v>
      </c>
      <c r="B10" s="31" t="n">
        <v>0</v>
      </c>
      <c r="C10" s="23" t="n">
        <f aca="false">B10*Assumptions!B6</f>
        <v>0</v>
      </c>
      <c r="D10" s="24" t="n">
        <f aca="false">B10*Assumptions!B7</f>
        <v>0</v>
      </c>
      <c r="E10" s="24" t="n">
        <f aca="false">B10*Assumptions!B8</f>
        <v>0</v>
      </c>
      <c r="F10" s="30" t="s">
        <v>56</v>
      </c>
    </row>
    <row r="11" customFormat="false" ht="15" hidden="false" customHeight="false" outlineLevel="0" collapsed="false">
      <c r="A11" s="19" t="s">
        <v>57</v>
      </c>
      <c r="B11" s="32" t="n">
        <f aca="false">1-SUM(B5:B10)</f>
        <v>0</v>
      </c>
      <c r="C11" s="23" t="n">
        <f aca="false">B11*Assumptions!B6</f>
        <v>0</v>
      </c>
      <c r="D11" s="24" t="n">
        <f aca="false">B11*Assumptions!B7</f>
        <v>0</v>
      </c>
      <c r="E11" s="24" t="n">
        <f aca="false">B11*Assumptions!B8</f>
        <v>0</v>
      </c>
      <c r="F11" s="30" t="s">
        <v>58</v>
      </c>
    </row>
    <row r="12" customFormat="false" ht="15" hidden="false" customHeight="false" outlineLevel="0" collapsed="false">
      <c r="A12" s="33" t="s">
        <v>40</v>
      </c>
      <c r="B12" s="34" t="n">
        <f aca="false">SUM(B5:B11)</f>
        <v>1</v>
      </c>
      <c r="C12" s="35" t="n">
        <f aca="false">SUM(C5:C11)</f>
        <v>10000000</v>
      </c>
      <c r="D12" s="36" t="n">
        <f aca="false">SUM(D5:D11)</f>
        <v>3000000</v>
      </c>
      <c r="E12" s="36" t="n">
        <f aca="false">SUM(E5:E11)</f>
        <v>18000000</v>
      </c>
      <c r="F12" s="37"/>
    </row>
    <row r="14" customFormat="false" ht="15" hidden="false" customHeight="false" outlineLevel="0" collapsed="false">
      <c r="A14" s="2" t="s">
        <v>59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5" t="s">
        <v>60</v>
      </c>
    </row>
    <row r="16" customFormat="false" ht="15" hidden="false" customHeight="false" outlineLevel="0" collapsed="false">
      <c r="A16" s="5" t="s">
        <v>61</v>
      </c>
    </row>
    <row r="17" customFormat="false" ht="15" hidden="false" customHeight="false" outlineLevel="0" collapsed="false">
      <c r="A17" s="5" t="s">
        <v>62</v>
      </c>
    </row>
    <row r="18" customFormat="false" ht="15" hidden="false" customHeight="false" outlineLevel="0" collapsed="false">
      <c r="A18" s="5" t="s">
        <v>63</v>
      </c>
    </row>
  </sheetData>
  <mergeCells count="3">
    <mergeCell ref="A1:F1"/>
    <mergeCell ref="A2:F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64</v>
      </c>
      <c r="B1" s="1"/>
      <c r="C1" s="1"/>
      <c r="D1" s="1"/>
      <c r="E1" s="1"/>
    </row>
    <row r="2" customFormat="false" ht="15" hidden="false" customHeight="false" outlineLevel="0" collapsed="false">
      <c r="A2" s="11" t="s">
        <v>65</v>
      </c>
      <c r="B2" s="11"/>
      <c r="C2" s="11"/>
      <c r="D2" s="11"/>
      <c r="E2" s="11"/>
    </row>
    <row r="4" customFormat="false" ht="15" hidden="false" customHeight="false" outlineLevel="0" collapsed="false">
      <c r="A4" s="3" t="s">
        <v>66</v>
      </c>
      <c r="B4" s="4"/>
      <c r="C4" s="4"/>
      <c r="D4" s="4"/>
      <c r="E4" s="4"/>
    </row>
    <row r="5" customFormat="false" ht="15" hidden="false" customHeight="false" outlineLevel="0" collapsed="false">
      <c r="A5" s="5" t="s">
        <v>67</v>
      </c>
      <c r="B5" s="38" t="n">
        <f aca="false">Assumptions!B9/Assumptions!B10</f>
        <v>0.142857142857143</v>
      </c>
    </row>
    <row r="6" customFormat="false" ht="15" hidden="false" customHeight="false" outlineLevel="0" collapsed="false">
      <c r="A6" s="5" t="s">
        <v>68</v>
      </c>
      <c r="B6" s="38" t="n">
        <f aca="false">1-B5</f>
        <v>0.857142857142857</v>
      </c>
    </row>
    <row r="7" customFormat="false" ht="15" hidden="false" customHeight="false" outlineLevel="0" collapsed="false">
      <c r="A7" s="5" t="s">
        <v>69</v>
      </c>
      <c r="B7" s="39" t="n">
        <f aca="false">Assumptions!B9/Assumptions!B14</f>
        <v>1666666.66666667</v>
      </c>
    </row>
    <row r="9" customFormat="false" ht="23.85" hidden="false" customHeight="false" outlineLevel="0" collapsed="false">
      <c r="A9" s="12" t="s">
        <v>43</v>
      </c>
      <c r="B9" s="12" t="s">
        <v>70</v>
      </c>
      <c r="C9" s="12" t="s">
        <v>71</v>
      </c>
      <c r="D9" s="12" t="s">
        <v>72</v>
      </c>
      <c r="E9" s="12" t="s">
        <v>73</v>
      </c>
    </row>
    <row r="10" customFormat="false" ht="15" hidden="false" customHeight="false" outlineLevel="0" collapsed="false">
      <c r="A10" s="13" t="s">
        <v>27</v>
      </c>
      <c r="B10" s="40" t="n">
        <f aca="false">'Cap Table'!B5</f>
        <v>0.58</v>
      </c>
      <c r="C10" s="40" t="n">
        <f aca="false">B10*$B$6</f>
        <v>0.497142857142857</v>
      </c>
      <c r="D10" s="17" t="n">
        <f aca="false">'Cap Table'!C5</f>
        <v>5800000</v>
      </c>
      <c r="E10" s="18" t="n">
        <f aca="false">C10*Assumptions!B10</f>
        <v>10440000</v>
      </c>
    </row>
    <row r="11" customFormat="false" ht="15" hidden="false" customHeight="false" outlineLevel="0" collapsed="false">
      <c r="A11" s="19" t="s">
        <v>31</v>
      </c>
      <c r="B11" s="32" t="n">
        <f aca="false">'Cap Table'!B6</f>
        <v>0.2</v>
      </c>
      <c r="C11" s="32" t="n">
        <f aca="false">B11*$B$6</f>
        <v>0.171428571428571</v>
      </c>
      <c r="D11" s="23" t="n">
        <f aca="false">'Cap Table'!C6</f>
        <v>2000000</v>
      </c>
      <c r="E11" s="24" t="n">
        <f aca="false">C11*Assumptions!B10</f>
        <v>3600000</v>
      </c>
    </row>
    <row r="12" customFormat="false" ht="15" hidden="false" customHeight="false" outlineLevel="0" collapsed="false">
      <c r="A12" s="13" t="s">
        <v>34</v>
      </c>
      <c r="B12" s="40" t="n">
        <f aca="false">'Cap Table'!B7</f>
        <v>0.2</v>
      </c>
      <c r="C12" s="40" t="n">
        <f aca="false">B12*$B$6</f>
        <v>0.171428571428571</v>
      </c>
      <c r="D12" s="17" t="n">
        <f aca="false">'Cap Table'!C7</f>
        <v>2000000</v>
      </c>
      <c r="E12" s="18" t="n">
        <f aca="false">C12*Assumptions!B10</f>
        <v>3600000</v>
      </c>
    </row>
    <row r="13" customFormat="false" ht="15" hidden="false" customHeight="false" outlineLevel="0" collapsed="false">
      <c r="A13" s="19" t="s">
        <v>37</v>
      </c>
      <c r="B13" s="32" t="n">
        <f aca="false">'Cap Table'!B8</f>
        <v>0.02</v>
      </c>
      <c r="C13" s="32" t="n">
        <f aca="false">B13*$B$6</f>
        <v>0.0171428571428571</v>
      </c>
      <c r="D13" s="23" t="n">
        <f aca="false">'Cap Table'!C8</f>
        <v>200000</v>
      </c>
      <c r="E13" s="24" t="n">
        <f aca="false">C13*Assumptions!B10</f>
        <v>360000</v>
      </c>
    </row>
    <row r="14" customFormat="false" ht="15" hidden="false" customHeight="false" outlineLevel="0" collapsed="false">
      <c r="A14" s="13" t="s">
        <v>53</v>
      </c>
      <c r="B14" s="40" t="n">
        <f aca="false">'Cap Table'!B9</f>
        <v>0</v>
      </c>
      <c r="C14" s="40" t="n">
        <f aca="false">B14*$B$6</f>
        <v>0</v>
      </c>
      <c r="D14" s="17" t="n">
        <f aca="false">'Cap Table'!C9</f>
        <v>0</v>
      </c>
      <c r="E14" s="18" t="n">
        <f aca="false">C14*Assumptions!B10</f>
        <v>0</v>
      </c>
    </row>
    <row r="15" customFormat="false" ht="15" hidden="false" customHeight="false" outlineLevel="0" collapsed="false">
      <c r="A15" s="19" t="s">
        <v>55</v>
      </c>
      <c r="B15" s="32" t="n">
        <f aca="false">'Cap Table'!B10</f>
        <v>0</v>
      </c>
      <c r="C15" s="32" t="n">
        <f aca="false">B15*$B$6</f>
        <v>0</v>
      </c>
      <c r="D15" s="23" t="n">
        <f aca="false">'Cap Table'!C10</f>
        <v>0</v>
      </c>
      <c r="E15" s="24" t="n">
        <f aca="false">C15*Assumptions!B10</f>
        <v>0</v>
      </c>
    </row>
    <row r="16" customFormat="false" ht="15" hidden="false" customHeight="false" outlineLevel="0" collapsed="false">
      <c r="A16" s="13" t="s">
        <v>57</v>
      </c>
      <c r="B16" s="40" t="n">
        <f aca="false">'Cap Table'!B11</f>
        <v>0</v>
      </c>
      <c r="C16" s="40" t="n">
        <f aca="false">B16*$B$6</f>
        <v>0</v>
      </c>
      <c r="D16" s="17" t="n">
        <f aca="false">'Cap Table'!C11</f>
        <v>0</v>
      </c>
      <c r="E16" s="18" t="n">
        <f aca="false">C16*Assumptions!B10</f>
        <v>0</v>
      </c>
    </row>
    <row r="17" customFormat="false" ht="15" hidden="false" customHeight="false" outlineLevel="0" collapsed="false">
      <c r="A17" s="41" t="s">
        <v>74</v>
      </c>
      <c r="B17" s="42" t="s">
        <v>75</v>
      </c>
      <c r="C17" s="43" t="n">
        <f aca="false">$B$5</f>
        <v>0.142857142857143</v>
      </c>
      <c r="D17" s="44" t="n">
        <f aca="false">$B$7</f>
        <v>1666666.66666667</v>
      </c>
      <c r="E17" s="45" t="n">
        <f aca="false">C17*Assumptions!B10</f>
        <v>3000000</v>
      </c>
    </row>
    <row r="18" customFormat="false" ht="15" hidden="false" customHeight="false" outlineLevel="0" collapsed="false">
      <c r="A18" s="3" t="s">
        <v>40</v>
      </c>
      <c r="B18" s="4"/>
      <c r="C18" s="46" t="n">
        <f aca="false">SUM(C10:C17)</f>
        <v>1</v>
      </c>
      <c r="D18" s="4"/>
      <c r="E18" s="4"/>
    </row>
    <row r="20" customFormat="false" ht="15" hidden="false" customHeight="false" outlineLevel="0" collapsed="false">
      <c r="A20" s="2" t="s">
        <v>76</v>
      </c>
      <c r="B20" s="2"/>
      <c r="C20" s="2"/>
      <c r="D20" s="2"/>
      <c r="E20" s="2"/>
    </row>
    <row r="21" customFormat="false" ht="15" hidden="false" customHeight="false" outlineLevel="0" collapsed="false">
      <c r="A21" s="47" t="s">
        <v>77</v>
      </c>
      <c r="B21" s="5" t="s">
        <v>78</v>
      </c>
      <c r="C21" s="48" t="n">
        <f aca="false">E10</f>
        <v>10440000</v>
      </c>
    </row>
    <row r="22" customFormat="false" ht="15" hidden="false" customHeight="false" outlineLevel="0" collapsed="false">
      <c r="A22" s="47" t="s">
        <v>79</v>
      </c>
      <c r="B22" s="5" t="s">
        <v>78</v>
      </c>
      <c r="C22" s="48" t="n">
        <f aca="false">E11</f>
        <v>3600000</v>
      </c>
    </row>
    <row r="23" customFormat="false" ht="15" hidden="false" customHeight="false" outlineLevel="0" collapsed="false">
      <c r="A23" s="47" t="s">
        <v>80</v>
      </c>
      <c r="B23" s="5" t="s">
        <v>78</v>
      </c>
      <c r="C23" s="48" t="n">
        <f aca="false">E12</f>
        <v>3600000</v>
      </c>
    </row>
  </sheetData>
  <mergeCells count="3">
    <mergeCell ref="A1:E1"/>
    <mergeCell ref="A2:E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2026-03-30T23:14:08Z</dcterms:created>
  <dc:creator>openpyxl</dc:creator>
  <dc:description/>
  <dc:language>en-US</dc:language>
  <cp:lastModifiedBy/>
  <dcterms:modified xsi:type="dcterms:W3CDTF">2026-03-30T23:14:08Z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